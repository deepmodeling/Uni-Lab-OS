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3" sheetId="5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<sst xmlns="http://schemas.openxmlformats.org/spreadsheetml/2006/main" count="220" uniqueCount="164">
  <si>
    <t>S8开盖拧盖</t>
  </si>
  <si>
    <t>S9加液体试剂工位</t>
  </si>
  <si>
    <t>左右伺服</t>
  </si>
  <si>
    <t>400W  10mm</t>
  </si>
  <si>
    <t>加液工位TIP试剂盒 漫反GTB2F-N1131*2</t>
  </si>
  <si>
    <t>上下伺服</t>
  </si>
  <si>
    <t>100W带刹车  5mm</t>
  </si>
  <si>
    <t>加液工位 漫反GTB6SP-1GE1116EZZZ*5</t>
  </si>
  <si>
    <t>一体</t>
  </si>
  <si>
    <t>旋转伺服&amp;夹爪   ERGS-D0-190-18PF-5-R2.1</t>
  </si>
  <si>
    <t>左右电机 400W 5mm</t>
  </si>
  <si>
    <t>RS485 MODBUS RTU</t>
  </si>
  <si>
    <t>前后电机 100W 10mm</t>
  </si>
  <si>
    <t>S11</t>
  </si>
  <si>
    <t>开盖工位 漫反GTB6SP-1GE1116EZZZ*2</t>
  </si>
  <si>
    <t>移液枪 SC-Z180-00-35-02</t>
  </si>
  <si>
    <t>成品烧杯 6*3层 漫反GTB2F-N1131 18个</t>
  </si>
  <si>
    <t>放瓶盖工位 漫反GTB6SP-1GE1116EZZZ*5</t>
  </si>
  <si>
    <t>天平 RS232</t>
  </si>
  <si>
    <t>成品固体瓶 6*3层 漫反GTB6SP-1GE1116EZZZ 18个</t>
  </si>
  <si>
    <t>大寰</t>
  </si>
  <si>
    <t>PGIA-140-80-0-F3-M1-L5</t>
  </si>
  <si>
    <t>开盖电爪 分体式</t>
  </si>
  <si>
    <t>S10</t>
  </si>
  <si>
    <t>液体试剂瓶 5*4层 漫反GTB6SP-1GE1116EZZZ 20个</t>
  </si>
  <si>
    <t>任务号</t>
  </si>
  <si>
    <t>去位置1取</t>
  </si>
  <si>
    <t>固体粉末容器瓶</t>
  </si>
  <si>
    <t>入料口检测 漫反GTB2F-N1131 5个</t>
  </si>
  <si>
    <t>漫反GTB6SP-1GE1116EZZZ*6</t>
  </si>
  <si>
    <t>磁搅</t>
  </si>
  <si>
    <t>准备信号</t>
  </si>
  <si>
    <t>放料</t>
  </si>
  <si>
    <t>海康 MV-ID2016M</t>
  </si>
  <si>
    <t>允许加工</t>
  </si>
  <si>
    <t>S01</t>
  </si>
  <si>
    <t>下发参数</t>
  </si>
  <si>
    <t>搅拌速度</t>
  </si>
  <si>
    <t>机械手夹爪产品感应 GTB6SP-1GE1116EZZZ</t>
  </si>
  <si>
    <t>加工触发</t>
  </si>
  <si>
    <t>电爪 PGIA-140-80-W-F2-M1-L10</t>
  </si>
  <si>
    <t>上料过渡仓 modbus tcp</t>
  </si>
  <si>
    <t>加工完成</t>
  </si>
  <si>
    <t>机器人模组400W</t>
  </si>
  <si>
    <t>机器人电源：AC220V 150W</t>
  </si>
  <si>
    <t>开门</t>
  </si>
  <si>
    <t>运动机构</t>
  </si>
  <si>
    <t>50mm</t>
  </si>
  <si>
    <t>扫码枪：固体、烧杯不扫码；TIP确认？</t>
  </si>
  <si>
    <t>取料</t>
  </si>
  <si>
    <t>工艺</t>
  </si>
  <si>
    <t>样品瓶开盖</t>
  </si>
  <si>
    <t>液体品瓶开盖</t>
  </si>
  <si>
    <t>S5</t>
  </si>
  <si>
    <t>拍照旋转 漫反GTB6SP-1GE1116EZZZ/1个 旋转电机200W 相机*2  电机直径38  大齿轮240</t>
  </si>
  <si>
    <t>S6加溶剂机构 1个</t>
  </si>
  <si>
    <t>S3</t>
  </si>
  <si>
    <t>烧杯 6*3层 漫反GTB2F-N1131 18个</t>
  </si>
  <si>
    <t>S7</t>
  </si>
  <si>
    <t>漫反GTB6SP-1GE1116EZZZ*1</t>
  </si>
  <si>
    <t>样品瓶 6*3层 漫反GTB6SP-1GE1116EZZZ 18个</t>
  </si>
  <si>
    <t>加样仪S8</t>
  </si>
  <si>
    <t>16A？</t>
  </si>
  <si>
    <t>注射泵*2 Y-03B RS485 DC24V/3A</t>
  </si>
  <si>
    <t>XR MW-01 EIP通讯</t>
  </si>
  <si>
    <t>液位传感器XKC-Y29A-NPN*4 DC24V/10mA</t>
  </si>
  <si>
    <t>S2</t>
  </si>
  <si>
    <t>加罐液两个阀17W</t>
  </si>
  <si>
    <t>TIP 2*3层 6</t>
  </si>
  <si>
    <t>S4</t>
  </si>
  <si>
    <t>漫反 GTB6SP-1GE1116EZZZ 6个</t>
  </si>
  <si>
    <t>搅拌 3*2层 漫反GTB6SP-1GE1116EZZZ*6</t>
  </si>
  <si>
    <t>热传感器 *6 4-20MA</t>
  </si>
  <si>
    <t>磁搅带加热功能 MS7-H280-G*6  RS232*6 1050W/个</t>
  </si>
  <si>
    <t>AI4C项目</t>
  </si>
  <si>
    <t>工控机</t>
  </si>
  <si>
    <t>144W</t>
  </si>
  <si>
    <t>开盖电动旋转伺服</t>
  </si>
  <si>
    <t>100W</t>
  </si>
  <si>
    <t>加罐液阀</t>
  </si>
  <si>
    <t>17W</t>
  </si>
  <si>
    <t>2个</t>
  </si>
  <si>
    <t>开盖夹紧伺服</t>
  </si>
  <si>
    <t>40W</t>
  </si>
  <si>
    <t>注射泵</t>
  </si>
  <si>
    <t>DC24V/3A</t>
  </si>
  <si>
    <t>移液枪</t>
  </si>
  <si>
    <t>24V/2.5A</t>
  </si>
  <si>
    <t>电压</t>
  </si>
  <si>
    <t>功率</t>
  </si>
  <si>
    <t>电流</t>
  </si>
  <si>
    <t>空开</t>
  </si>
  <si>
    <t>总功率/W</t>
  </si>
  <si>
    <t>手套箱IP</t>
  </si>
  <si>
    <t>固体加样仪</t>
  </si>
  <si>
    <t>磁搅拌*6</t>
  </si>
  <si>
    <t>AC220V</t>
  </si>
  <si>
    <t>1050W</t>
  </si>
  <si>
    <t>4.8A</t>
  </si>
  <si>
    <t>1P C6A</t>
  </si>
  <si>
    <t>加样仪</t>
  </si>
  <si>
    <t>2200KW</t>
  </si>
  <si>
    <t>10A</t>
  </si>
  <si>
    <t>2P C16A</t>
  </si>
  <si>
    <t>旋转电机</t>
  </si>
  <si>
    <t>200W</t>
  </si>
  <si>
    <t>0.91A</t>
  </si>
  <si>
    <t>1P D6A</t>
  </si>
  <si>
    <t>机器人</t>
  </si>
  <si>
    <t>150W</t>
  </si>
  <si>
    <t>0.7A</t>
  </si>
  <si>
    <t>合计</t>
  </si>
  <si>
    <t>机器人移栽模组</t>
  </si>
  <si>
    <t>400W</t>
  </si>
  <si>
    <t>1.8A</t>
  </si>
  <si>
    <t>开盖左右</t>
  </si>
  <si>
    <t>220V:</t>
  </si>
  <si>
    <t>扫码枪1</t>
  </si>
  <si>
    <t>开盖上下</t>
  </si>
  <si>
    <t>0.45A</t>
  </si>
  <si>
    <t>相机2</t>
  </si>
  <si>
    <t>移液左右</t>
  </si>
  <si>
    <t>光源2</t>
  </si>
  <si>
    <t>移液前后</t>
  </si>
  <si>
    <t>电脑1</t>
  </si>
  <si>
    <t>开关电源</t>
  </si>
  <si>
    <t>480W</t>
  </si>
  <si>
    <t>4.4A</t>
  </si>
  <si>
    <t>显示屏1</t>
  </si>
  <si>
    <t>240W</t>
  </si>
  <si>
    <t>1.1A</t>
  </si>
  <si>
    <t>插座</t>
  </si>
  <si>
    <t>2000W</t>
  </si>
  <si>
    <t>1P D10A</t>
  </si>
  <si>
    <t>W</t>
  </si>
  <si>
    <t>A</t>
  </si>
  <si>
    <t>大寰电爪</t>
  </si>
  <si>
    <t>RS232</t>
  </si>
  <si>
    <t>天平1+磁搅拌6</t>
  </si>
  <si>
    <t>旋转伺服&amp;夹爪1+开盖固定产品电爪1</t>
  </si>
  <si>
    <t>RS485 modbus RTU</t>
  </si>
  <si>
    <t>注射泵2</t>
  </si>
  <si>
    <t>CAN</t>
  </si>
  <si>
    <t>亿芯旋转</t>
  </si>
  <si>
    <t>3号</t>
  </si>
  <si>
    <t>亿芯夹持</t>
  </si>
  <si>
    <t>4号</t>
  </si>
  <si>
    <t>S09工艺确认</t>
  </si>
  <si>
    <t>S09工艺 PC-PLC</t>
  </si>
  <si>
    <t>去安全位1(机器人TIP盒取放)</t>
  </si>
  <si>
    <t>S09工艺完成 PLC-PC</t>
  </si>
  <si>
    <t>去安全位2(机器人液体试剂123取放)</t>
  </si>
  <si>
    <t>去安全位3(机器人液体试剂45取放)</t>
  </si>
  <si>
    <t>去安全位4(机器人烧杯取放)</t>
  </si>
  <si>
    <t>取TIP</t>
  </si>
  <si>
    <t>S09试剂盒工位编号，S09试剂TIP编号</t>
  </si>
  <si>
    <t>放TIP</t>
  </si>
  <si>
    <t>液体瓶取液</t>
  </si>
  <si>
    <t>S09液体瓶编号,S09取液体量</t>
  </si>
  <si>
    <t>烧杯放液</t>
  </si>
  <si>
    <t>S09放液量</t>
  </si>
  <si>
    <t>测密度抽液</t>
  </si>
  <si>
    <t>测密度排液</t>
  </si>
  <si>
    <t>S09工艺busy PLC-PC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</si>
</sst>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4">
      <alignment vertical="center"/>
    </xf>
    <xf numFmtId="0" fontId="7" fillId="0" borderId="14">
      <alignment vertical="center"/>
    </xf>
    <xf numFmtId="0" fontId="8" fillId="0" borderId="15">
      <alignment vertical="center"/>
    </xf>
    <xf numFmtId="0" fontId="8" fillId="0" borderId="0">
      <alignment vertical="center"/>
    </xf>
    <xf numFmtId="0" fontId="9" fillId="4" borderId="16">
      <alignment vertical="center"/>
    </xf>
    <xf numFmtId="0" fontId="10" fillId="5" borderId="17">
      <alignment vertical="center"/>
    </xf>
    <xf numFmtId="0" fontId="11" fillId="5" borderId="16">
      <alignment vertical="center"/>
    </xf>
    <xf numFmtId="0" fontId="12" fillId="6" borderId="18">
      <alignment vertical="center"/>
    </xf>
    <xf numFmtId="0" fontId="13" fillId="0" borderId="19">
      <alignment vertical="center"/>
    </xf>
    <xf numFmtId="0" fontId="14" fillId="0" borderId="20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EEEE"/>
      <color rgb="00ECFADB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614680</xdr:colOff>
      <xdr:row>13</xdr:row>
      <xdr:rowOff>93345</xdr:rowOff>
    </xdr:from>
    <xdr:to>
      <xdr:col>17</xdr:col>
      <xdr:colOff>680085</xdr:colOff>
      <xdr:row>40</xdr:row>
      <xdr:rowOff>92710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90745" y="2703195"/>
          <a:ext cx="10317480" cy="4628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19685</xdr:colOff>
      <xdr:row>67</xdr:row>
      <xdr:rowOff>14605</xdr:rowOff>
    </xdr:from>
    <xdr:to>
      <xdr:col>18</xdr:col>
      <xdr:colOff>295275</xdr:colOff>
      <xdr:row>84</xdr:row>
      <xdr:rowOff>71755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13440" y="12127230"/>
          <a:ext cx="4295775" cy="2971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B88"/>
  <sheetViews>
    <sheetView zoomScale="85" zoomScaleNormal="85" topLeftCell="C1" workbookViewId="0">
      <selection activeCell="L10" sqref="L10"/>
    </sheetView>
  </sheetViews>
  <sheetFormatPr defaultColWidth="9" defaultRowHeight="13.5"/>
  <cols>
    <col min="4" max="4" width="17.4916666666667" customWidth="1"/>
    <col min="9" max="9" width="12.625"/>
    <col min="11" max="11" width="12.1333333333333" customWidth="1"/>
    <col min="12" max="12" width="21.025" customWidth="1"/>
    <col min="14" max="14" width="16.7583333333333" customWidth="1"/>
    <col min="19" max="19" width="16.0666666666667" customWidth="1"/>
    <col min="20" max="20" width="16.7833333333333" customWidth="1"/>
  </cols>
  <sheetData>
    <row r="3" ht="14.25" spans="4:26">
      <c r="K3" s="6"/>
      <c r="L3" s="6"/>
      <c r="M3" s="6"/>
      <c r="N3" s="6"/>
      <c r="O3" s="6"/>
    </row>
    <row r="4" spans="4:26">
      <c r="G4" s="7" t="s">
        <v>0</v>
      </c>
      <c r="H4" s="8"/>
      <c r="I4" s="9"/>
      <c r="K4" s="6" t="s">
        <v>1</v>
      </c>
      <c r="L4" s="6"/>
      <c r="M4" s="6"/>
      <c r="N4" s="6"/>
      <c r="O4" s="6"/>
    </row>
    <row r="5" spans="4:26">
      <c r="G5" s="10" t="s">
        <v>2</v>
      </c>
      <c r="H5" s="6" t="s">
        <v>3</v>
      </c>
      <c r="I5" s="11"/>
      <c r="K5" s="6" t="s">
        <v>4</v>
      </c>
      <c r="L5" s="6"/>
      <c r="M5" s="6"/>
      <c r="N5" s="6"/>
      <c r="O5" s="6"/>
    </row>
    <row r="6" spans="4:26">
      <c r="G6" s="10" t="s">
        <v>5</v>
      </c>
      <c r="H6" s="6" t="s">
        <v>6</v>
      </c>
      <c r="I6" s="11"/>
      <c r="K6" s="6" t="s">
        <v>7</v>
      </c>
      <c r="L6" s="6"/>
      <c r="M6" s="6"/>
      <c r="N6" s="6"/>
      <c r="O6" s="6"/>
    </row>
    <row r="7" spans="4:26">
      <c r="E7" s="12"/>
      <c r="F7" s="1" t="s">
        <v>8</v>
      </c>
      <c r="G7" s="13" t="s">
        <v>9</v>
      </c>
      <c r="H7" s="14"/>
      <c r="I7" s="11"/>
      <c r="K7" s="6" t="s">
        <v>10</v>
      </c>
      <c r="L7" s="6"/>
      <c r="M7" s="6"/>
      <c r="N7" s="6"/>
      <c r="O7" s="6"/>
    </row>
    <row r="8" ht="14.25" spans="4:26">
      <c r="E8" s="12"/>
      <c r="F8" s="1"/>
      <c r="G8" s="13" t="s">
        <v>11</v>
      </c>
      <c r="H8" s="14"/>
      <c r="I8" s="11"/>
      <c r="K8" s="6" t="s">
        <v>12</v>
      </c>
      <c r="L8" s="6"/>
      <c r="M8" s="6"/>
      <c r="N8" s="6"/>
      <c r="O8" s="6" t="s">
        <v>13</v>
      </c>
    </row>
    <row r="9" ht="40.5" spans="4:26">
      <c r="E9" s="12"/>
      <c r="G9" s="10" t="s">
        <v>14</v>
      </c>
      <c r="H9" s="6"/>
      <c r="I9" s="11"/>
      <c r="K9" s="15" t="s">
        <v>15</v>
      </c>
      <c r="L9" s="6"/>
      <c r="M9" s="6"/>
      <c r="N9" s="6"/>
      <c r="O9" s="16" t="s">
        <v>16</v>
      </c>
      <c r="P9" s="17"/>
      <c r="Q9" s="18"/>
    </row>
    <row r="10" ht="14.25" spans="4:26">
      <c r="G10" s="10" t="s">
        <v>17</v>
      </c>
      <c r="H10" s="6"/>
      <c r="I10" s="11"/>
      <c r="K10" s="6" t="s">
        <v>18</v>
      </c>
      <c r="L10" s="6"/>
      <c r="M10" s="6"/>
      <c r="N10" s="6"/>
      <c r="O10" s="19" t="s">
        <v>19</v>
      </c>
      <c r="P10" s="20"/>
      <c r="Q10" s="21"/>
    </row>
    <row r="11" ht="14.25" spans="4:26">
      <c r="D11" t="s">
        <v>20</v>
      </c>
      <c r="E11" t="s">
        <v>21</v>
      </c>
      <c r="G11" s="22" t="s">
        <v>22</v>
      </c>
      <c r="H11" s="23"/>
      <c r="I11" s="24"/>
      <c r="L11" s="6"/>
      <c r="M11" s="6" t="s">
        <v>23</v>
      </c>
      <c r="N11" s="6"/>
      <c r="O11" s="6"/>
    </row>
    <row r="12" spans="4:26">
      <c r="G12" s="6"/>
      <c r="H12" s="6"/>
      <c r="I12" s="6"/>
      <c r="K12" s="6"/>
      <c r="L12" s="6"/>
      <c r="M12" s="6" t="s">
        <v>24</v>
      </c>
      <c r="N12" s="6"/>
      <c r="O12" s="6"/>
    </row>
    <row r="13" spans="4:26">
      <c r="K13" s="6"/>
      <c r="L13" s="6"/>
      <c r="M13" s="6"/>
      <c r="N13" s="6"/>
      <c r="O13" s="6"/>
    </row>
    <row r="16" spans="4:26">
      <c r="X16" t="s">
        <v>25</v>
      </c>
      <c r="Y16">
        <v>1</v>
      </c>
      <c r="Z16" t="s">
        <v>26</v>
      </c>
    </row>
    <row r="17" spans="3:26">
      <c r="Y17">
        <v>2</v>
      </c>
    </row>
    <row r="23" spans="3:26">
      <c r="E23" t="s">
        <v>27</v>
      </c>
      <c r="T23" t="s">
        <v>28</v>
      </c>
    </row>
    <row r="24" spans="3:26">
      <c r="E24" t="s">
        <v>29</v>
      </c>
      <c r="X24" t="s">
        <v>30</v>
      </c>
      <c r="Y24" t="s">
        <v>31</v>
      </c>
    </row>
    <row r="25" spans="3:26">
      <c r="Y25" t="s">
        <v>32</v>
      </c>
    </row>
    <row r="26" spans="3:26">
      <c r="T26" t="s">
        <v>33</v>
      </c>
      <c r="Y26" t="s">
        <v>34</v>
      </c>
    </row>
    <row r="27" spans="3:26">
      <c r="S27" t="s">
        <v>35</v>
      </c>
      <c r="Y27" t="s">
        <v>36</v>
      </c>
      <c r="Z27" t="s">
        <v>37</v>
      </c>
    </row>
    <row r="28" spans="3:26">
      <c r="C28" t="s">
        <v>38</v>
      </c>
      <c r="Y28" t="s">
        <v>39</v>
      </c>
    </row>
    <row r="29" spans="3:26">
      <c r="C29" t="s">
        <v>40</v>
      </c>
      <c r="T29" t="s">
        <v>41</v>
      </c>
      <c r="Y29" t="s">
        <v>42</v>
      </c>
    </row>
    <row r="30" spans="3:26">
      <c r="C30" t="s">
        <v>43</v>
      </c>
    </row>
    <row r="31" spans="3:26">
      <c r="C31" t="s">
        <v>44</v>
      </c>
      <c r="T31" t="s">
        <v>45</v>
      </c>
    </row>
    <row r="32" spans="3:26">
      <c r="X32" t="s">
        <v>46</v>
      </c>
      <c r="Y32" t="s">
        <v>31</v>
      </c>
    </row>
    <row r="33" spans="3:27">
      <c r="C33" t="s">
        <v>47</v>
      </c>
      <c r="T33" t="s">
        <v>48</v>
      </c>
      <c r="Y33" t="s">
        <v>32</v>
      </c>
      <c r="Z33" t="s">
        <v>49</v>
      </c>
    </row>
    <row r="34" spans="3:27">
      <c r="Y34" t="s">
        <v>50</v>
      </c>
      <c r="Z34">
        <v>1</v>
      </c>
      <c r="AA34" t="s">
        <v>51</v>
      </c>
    </row>
    <row r="35" spans="3:27">
      <c r="Z35">
        <v>2</v>
      </c>
      <c r="AA35" t="s">
        <v>51</v>
      </c>
    </row>
    <row r="36" spans="3:27">
      <c r="Z36">
        <v>3</v>
      </c>
      <c r="AA36" t="s">
        <v>52</v>
      </c>
    </row>
    <row r="37" spans="3:27">
      <c r="Z37">
        <v>4</v>
      </c>
      <c r="AA37" t="s">
        <v>52</v>
      </c>
    </row>
    <row r="42" ht="29" customHeight="1" spans="3:27">
      <c r="J42" t="s">
        <v>53</v>
      </c>
      <c r="K42" t="s">
        <v>54</v>
      </c>
      <c r="M42" s="6"/>
    </row>
    <row r="43" ht="14.25" spans="3:27">
      <c r="J43" s="6" t="s">
        <v>55</v>
      </c>
      <c r="K43" s="6"/>
      <c r="M43" s="6" t="s">
        <v>56</v>
      </c>
      <c r="N43" s="16" t="s">
        <v>57</v>
      </c>
      <c r="O43" s="17"/>
      <c r="P43" s="18"/>
    </row>
    <row r="44" spans="3:27">
      <c r="G44" s="7" t="s">
        <v>58</v>
      </c>
      <c r="H44" s="9"/>
      <c r="J44" t="s">
        <v>59</v>
      </c>
      <c r="M44" s="6"/>
      <c r="N44" s="19" t="s">
        <v>60</v>
      </c>
      <c r="O44" s="20"/>
      <c r="P44" s="21"/>
    </row>
    <row r="45" spans="3:27">
      <c r="G45" s="10" t="s">
        <v>61</v>
      </c>
      <c r="H45" s="11" t="s">
        <v>62</v>
      </c>
      <c r="J45" s="6" t="s">
        <v>63</v>
      </c>
      <c r="K45" s="6"/>
    </row>
    <row r="46" ht="14.25" spans="3:27">
      <c r="G46" s="10" t="s">
        <v>64</v>
      </c>
      <c r="H46" s="11"/>
      <c r="J46" s="6" t="s">
        <v>65</v>
      </c>
      <c r="K46" s="6"/>
      <c r="Q46" t="s">
        <v>66</v>
      </c>
    </row>
    <row r="47" ht="14.25" spans="3:27">
      <c r="G47" s="10"/>
      <c r="H47" s="11"/>
      <c r="J47" t="s">
        <v>67</v>
      </c>
      <c r="Q47" s="7" t="s">
        <v>68</v>
      </c>
      <c r="R47" s="8"/>
      <c r="S47" s="8"/>
      <c r="T47" s="9"/>
    </row>
    <row r="48" spans="3:27">
      <c r="G48" s="10"/>
      <c r="H48" s="11"/>
      <c r="L48" s="7" t="s">
        <v>69</v>
      </c>
      <c r="M48" s="8"/>
      <c r="N48" s="9"/>
      <c r="O48" s="12"/>
      <c r="Q48" s="10" t="s">
        <v>70</v>
      </c>
      <c r="R48" s="6"/>
      <c r="S48" s="6"/>
      <c r="T48" s="11"/>
    </row>
    <row r="49" ht="14.25" spans="4:28">
      <c r="G49" s="22"/>
      <c r="H49" s="24"/>
      <c r="L49" s="10" t="s">
        <v>71</v>
      </c>
      <c r="M49" s="6"/>
      <c r="N49" s="11"/>
      <c r="O49" s="12"/>
      <c r="Q49" s="22"/>
      <c r="R49" s="23"/>
      <c r="S49" s="23"/>
      <c r="T49" s="24"/>
    </row>
    <row r="50" spans="4:28">
      <c r="L50" s="10" t="s">
        <v>72</v>
      </c>
      <c r="M50" s="6"/>
      <c r="N50" s="11"/>
      <c r="O50" s="12"/>
    </row>
    <row r="51" spans="4:28">
      <c r="L51" s="10" t="s">
        <v>73</v>
      </c>
      <c r="M51" s="6"/>
      <c r="N51" s="11"/>
      <c r="O51" s="12"/>
    </row>
    <row r="52" ht="14.25" spans="4:28">
      <c r="L52" s="22" t="s">
        <v>74</v>
      </c>
      <c r="M52" s="23"/>
      <c r="N52" s="21"/>
      <c r="O52" s="12"/>
    </row>
    <row r="53" spans="4:28">
      <c r="J53" s="6"/>
      <c r="K53" s="6"/>
      <c r="L53" s="6"/>
      <c r="M53" s="6"/>
      <c r="N53" s="25"/>
      <c r="O53" s="25"/>
      <c r="P53" s="6"/>
      <c r="Q53" s="6"/>
    </row>
    <row r="54" spans="4:28">
      <c r="J54" s="6"/>
      <c r="K54" s="6"/>
      <c r="L54" s="6"/>
      <c r="M54" s="6"/>
      <c r="N54" s="6"/>
      <c r="O54" s="6"/>
      <c r="P54" s="6"/>
      <c r="Q54" s="6"/>
      <c r="S54" s="12"/>
      <c r="T54" s="12"/>
      <c r="U54" s="12"/>
      <c r="V54" s="12"/>
    </row>
    <row r="55" spans="4:28">
      <c r="J55" s="6"/>
      <c r="K55" s="25"/>
      <c r="L55" s="25"/>
      <c r="M55" s="25"/>
      <c r="N55" s="25"/>
      <c r="O55" s="25"/>
      <c r="P55" s="25"/>
      <c r="Q55" s="6"/>
      <c r="S55" s="12"/>
      <c r="T55" s="12"/>
      <c r="U55" s="12"/>
      <c r="V55" s="12"/>
    </row>
    <row r="56" spans="4:28">
      <c r="J56" s="6"/>
      <c r="K56" s="25"/>
      <c r="L56" s="25"/>
      <c r="M56" s="25"/>
      <c r="N56" s="25"/>
      <c r="O56" s="25"/>
      <c r="P56" s="25"/>
      <c r="Q56" s="6"/>
      <c r="S56" s="12" t="s">
        <v>75</v>
      </c>
      <c r="T56" s="12" t="s">
        <v>76</v>
      </c>
      <c r="U56" s="12"/>
      <c r="V56" s="12">
        <v>144</v>
      </c>
      <c r="Y56" s="26" t="s">
        <v>77</v>
      </c>
      <c r="Z56" s="26" t="s">
        <v>78</v>
      </c>
      <c r="AA56" s="26">
        <v>1</v>
      </c>
      <c r="AB56" s="26">
        <v>100</v>
      </c>
    </row>
    <row r="57" spans="4:28">
      <c r="J57" s="6"/>
      <c r="K57" s="25"/>
      <c r="L57" s="25"/>
      <c r="M57" s="25"/>
      <c r="N57" s="25"/>
      <c r="O57" s="25"/>
      <c r="P57" s="25"/>
      <c r="Q57" s="6"/>
      <c r="S57" s="26" t="s">
        <v>79</v>
      </c>
      <c r="T57" s="26" t="s">
        <v>80</v>
      </c>
      <c r="U57" s="26" t="s">
        <v>81</v>
      </c>
      <c r="V57" s="26">
        <v>34</v>
      </c>
      <c r="Y57" s="26" t="s">
        <v>82</v>
      </c>
      <c r="Z57" s="26" t="s">
        <v>83</v>
      </c>
      <c r="AA57" s="26" t="s">
        <v>81</v>
      </c>
      <c r="AB57" s="26">
        <v>80</v>
      </c>
    </row>
    <row r="58" spans="4:28">
      <c r="J58" s="6"/>
      <c r="K58" s="25"/>
      <c r="L58" s="25"/>
      <c r="M58" s="25"/>
      <c r="N58" s="25"/>
      <c r="O58" s="25"/>
      <c r="P58" s="25"/>
      <c r="Q58" s="6"/>
      <c r="S58" s="26" t="s">
        <v>84</v>
      </c>
      <c r="T58" s="26" t="s">
        <v>85</v>
      </c>
      <c r="U58" s="26" t="s">
        <v>81</v>
      </c>
      <c r="V58" s="26">
        <v>144</v>
      </c>
      <c r="Y58" s="26" t="s">
        <v>86</v>
      </c>
      <c r="Z58" s="26" t="s">
        <v>87</v>
      </c>
      <c r="AA58" s="26"/>
      <c r="AB58" s="26">
        <v>60</v>
      </c>
    </row>
    <row r="59" spans="4:28">
      <c r="E59" t="s">
        <v>88</v>
      </c>
      <c r="F59" t="s">
        <v>89</v>
      </c>
      <c r="G59" t="s">
        <v>90</v>
      </c>
      <c r="H59" t="s">
        <v>91</v>
      </c>
      <c r="I59" s="12" t="s">
        <v>92</v>
      </c>
      <c r="J59" s="6"/>
      <c r="K59" s="25"/>
      <c r="L59" s="25"/>
      <c r="M59" s="25"/>
      <c r="N59" s="25" t="s">
        <v>93</v>
      </c>
      <c r="O59" s="25">
        <v>2</v>
      </c>
      <c r="P59" s="25"/>
      <c r="Q59" s="6"/>
    </row>
    <row r="60" spans="4:28">
      <c r="I60" s="12"/>
      <c r="J60" s="6"/>
      <c r="K60" s="25"/>
      <c r="L60" s="25"/>
      <c r="M60" s="25"/>
      <c r="N60" s="25" t="s">
        <v>94</v>
      </c>
      <c r="O60" s="25">
        <v>2</v>
      </c>
      <c r="P60" s="25"/>
      <c r="Q60" s="6"/>
    </row>
    <row r="61" spans="4:28">
      <c r="D61" t="s">
        <v>95</v>
      </c>
      <c r="E61" t="s">
        <v>96</v>
      </c>
      <c r="F61" t="s">
        <v>97</v>
      </c>
      <c r="G61" t="s">
        <v>98</v>
      </c>
      <c r="H61" t="s">
        <v>99</v>
      </c>
      <c r="I61" s="12">
        <v>6300</v>
      </c>
      <c r="J61" s="6"/>
      <c r="K61" s="25"/>
      <c r="L61" s="25"/>
      <c r="M61" s="25"/>
      <c r="N61" s="25"/>
      <c r="O61" s="25"/>
      <c r="P61" s="25"/>
      <c r="Q61" s="6"/>
    </row>
    <row r="62" spans="4:28">
      <c r="D62" t="s">
        <v>100</v>
      </c>
      <c r="E62" t="s">
        <v>96</v>
      </c>
      <c r="F62" t="s">
        <v>101</v>
      </c>
      <c r="G62" t="s">
        <v>102</v>
      </c>
      <c r="H62" t="s">
        <v>103</v>
      </c>
      <c r="I62" s="12">
        <v>2200</v>
      </c>
      <c r="J62" s="6"/>
      <c r="K62" s="25"/>
      <c r="L62" s="25"/>
      <c r="M62" s="25"/>
      <c r="N62" s="25"/>
      <c r="O62" s="25"/>
      <c r="P62" s="25"/>
      <c r="Q62" s="6"/>
    </row>
    <row r="63" spans="4:28">
      <c r="D63" t="s">
        <v>104</v>
      </c>
      <c r="E63" t="s">
        <v>96</v>
      </c>
      <c r="F63" t="s">
        <v>105</v>
      </c>
      <c r="G63" t="s">
        <v>106</v>
      </c>
      <c r="H63" t="s">
        <v>107</v>
      </c>
      <c r="I63" s="12">
        <v>200</v>
      </c>
      <c r="J63" s="6"/>
      <c r="K63" s="25"/>
      <c r="L63" s="25"/>
      <c r="M63" s="25"/>
      <c r="N63" s="25"/>
      <c r="O63" s="25"/>
      <c r="P63" s="25"/>
      <c r="Q63" s="6"/>
    </row>
    <row r="64" spans="4:28">
      <c r="D64" t="s">
        <v>108</v>
      </c>
      <c r="E64" t="s">
        <v>96</v>
      </c>
      <c r="F64" t="s">
        <v>109</v>
      </c>
      <c r="G64" t="s">
        <v>110</v>
      </c>
      <c r="H64" t="s">
        <v>107</v>
      </c>
      <c r="I64" s="12">
        <v>200</v>
      </c>
      <c r="J64" s="6"/>
      <c r="K64" s="25"/>
      <c r="L64" s="25"/>
      <c r="M64" s="25"/>
      <c r="N64" s="25"/>
      <c r="O64" s="25"/>
      <c r="P64" s="25"/>
      <c r="Q64" s="6"/>
      <c r="V64" t="s">
        <v>111</v>
      </c>
      <c r="W64">
        <f>SUM(V56:V60)</f>
        <v>322</v>
      </c>
    </row>
    <row r="65" spans="4:20">
      <c r="D65" t="s">
        <v>112</v>
      </c>
      <c r="E65" t="s">
        <v>96</v>
      </c>
      <c r="F65" t="s">
        <v>113</v>
      </c>
      <c r="G65" t="s">
        <v>114</v>
      </c>
      <c r="H65" t="s">
        <v>107</v>
      </c>
      <c r="I65" s="12">
        <v>400</v>
      </c>
      <c r="J65" s="6"/>
      <c r="K65" s="25"/>
      <c r="L65" s="25"/>
      <c r="M65" s="25"/>
      <c r="N65" s="25"/>
      <c r="O65" s="25"/>
      <c r="P65" s="25"/>
      <c r="Q65" s="6"/>
    </row>
    <row r="66" spans="4:20">
      <c r="D66" t="s">
        <v>115</v>
      </c>
      <c r="E66" t="s">
        <v>96</v>
      </c>
      <c r="F66" t="s">
        <v>113</v>
      </c>
      <c r="G66" t="s">
        <v>114</v>
      </c>
      <c r="H66" t="s">
        <v>107</v>
      </c>
      <c r="I66" s="12">
        <v>400</v>
      </c>
      <c r="J66" s="6"/>
      <c r="K66" s="25"/>
      <c r="L66" s="25"/>
      <c r="M66" s="25"/>
      <c r="N66" s="25"/>
      <c r="O66" s="25"/>
      <c r="P66" s="25"/>
      <c r="Q66" s="6"/>
      <c r="S66" t="s">
        <v>116</v>
      </c>
      <c r="T66" t="s">
        <v>117</v>
      </c>
    </row>
    <row r="67" spans="4:20">
      <c r="D67" t="s">
        <v>118</v>
      </c>
      <c r="E67" t="s">
        <v>96</v>
      </c>
      <c r="F67" t="s">
        <v>78</v>
      </c>
      <c r="G67" t="s">
        <v>119</v>
      </c>
      <c r="H67" t="s">
        <v>107</v>
      </c>
      <c r="I67" s="12">
        <v>100</v>
      </c>
      <c r="J67" s="6"/>
      <c r="K67" s="25" t="s">
        <v>111</v>
      </c>
      <c r="L67" s="25">
        <f>SUM(I62:I72)</f>
        <v>7200</v>
      </c>
      <c r="M67" s="25"/>
      <c r="N67" s="25"/>
      <c r="O67" s="25"/>
      <c r="P67" s="25"/>
      <c r="Q67" s="6"/>
      <c r="T67" t="s">
        <v>120</v>
      </c>
    </row>
    <row r="68" spans="4:20">
      <c r="D68" t="s">
        <v>121</v>
      </c>
      <c r="E68" t="s">
        <v>96</v>
      </c>
      <c r="F68" t="s">
        <v>113</v>
      </c>
      <c r="G68" t="s">
        <v>114</v>
      </c>
      <c r="H68" t="s">
        <v>107</v>
      </c>
      <c r="I68" s="12">
        <v>400</v>
      </c>
      <c r="J68" s="6"/>
      <c r="K68" s="25"/>
      <c r="L68" s="25"/>
      <c r="M68" s="25"/>
      <c r="N68" s="25"/>
      <c r="O68" s="25"/>
      <c r="P68" s="25"/>
      <c r="Q68" s="6"/>
      <c r="T68" t="s">
        <v>122</v>
      </c>
    </row>
    <row r="69" spans="4:20">
      <c r="D69" t="s">
        <v>123</v>
      </c>
      <c r="E69" t="s">
        <v>96</v>
      </c>
      <c r="F69" t="s">
        <v>78</v>
      </c>
      <c r="G69" t="s">
        <v>119</v>
      </c>
      <c r="H69" t="s">
        <v>107</v>
      </c>
      <c r="I69" s="12">
        <v>100</v>
      </c>
      <c r="J69" s="6"/>
      <c r="K69" s="25"/>
      <c r="L69" s="25"/>
      <c r="M69" s="25"/>
      <c r="N69" s="25"/>
      <c r="O69" s="25"/>
      <c r="P69" s="25"/>
      <c r="Q69" s="6"/>
      <c r="T69" t="s">
        <v>124</v>
      </c>
    </row>
    <row r="70" spans="4:20">
      <c r="D70" t="s">
        <v>125</v>
      </c>
      <c r="E70" t="s">
        <v>96</v>
      </c>
      <c r="F70" t="s">
        <v>126</v>
      </c>
      <c r="G70" t="s">
        <v>127</v>
      </c>
      <c r="I70" s="12">
        <v>960</v>
      </c>
      <c r="J70" s="6"/>
      <c r="K70" s="25"/>
      <c r="L70" s="25"/>
      <c r="M70" s="25"/>
      <c r="N70" s="25"/>
      <c r="O70" s="25"/>
      <c r="P70" s="25"/>
      <c r="Q70" s="6"/>
      <c r="T70" t="s">
        <v>128</v>
      </c>
    </row>
    <row r="71" spans="4:20">
      <c r="D71" t="s">
        <v>125</v>
      </c>
      <c r="E71" t="s">
        <v>96</v>
      </c>
      <c r="F71" t="s">
        <v>129</v>
      </c>
      <c r="G71" t="s">
        <v>130</v>
      </c>
      <c r="I71" s="12">
        <v>240</v>
      </c>
      <c r="J71" s="6"/>
      <c r="K71" s="25"/>
      <c r="L71" s="25"/>
      <c r="M71" s="25"/>
      <c r="N71" s="25"/>
      <c r="O71" s="25"/>
      <c r="P71" s="25"/>
      <c r="Q71" s="6"/>
    </row>
    <row r="72" spans="4:20">
      <c r="D72" t="s">
        <v>131</v>
      </c>
      <c r="E72" t="s">
        <v>96</v>
      </c>
      <c r="F72" t="s">
        <v>132</v>
      </c>
      <c r="G72" t="s">
        <v>102</v>
      </c>
      <c r="H72" t="s">
        <v>133</v>
      </c>
      <c r="I72" s="12">
        <v>2000</v>
      </c>
      <c r="J72" s="6"/>
      <c r="K72" s="25"/>
      <c r="L72" s="25"/>
      <c r="M72" s="25"/>
      <c r="N72" s="25"/>
      <c r="O72" s="25"/>
      <c r="P72" s="25"/>
      <c r="Q72" s="6"/>
    </row>
    <row r="73" spans="4:20">
      <c r="I73" s="12"/>
      <c r="J73" s="6"/>
      <c r="K73" s="25"/>
      <c r="L73" s="25"/>
      <c r="M73" s="25"/>
      <c r="N73" s="25"/>
      <c r="O73" s="25"/>
      <c r="P73" s="25"/>
      <c r="Q73" s="6"/>
    </row>
    <row r="74" spans="4:20">
      <c r="G74" t="s">
        <v>111</v>
      </c>
      <c r="I74" s="12">
        <f>SUM(I60:I72)</f>
        <v>13500</v>
      </c>
      <c r="J74" s="6" t="s">
        <v>134</v>
      </c>
      <c r="K74" s="25"/>
      <c r="L74" s="25"/>
      <c r="M74" s="25"/>
      <c r="N74" s="25"/>
      <c r="O74" s="25"/>
      <c r="P74" s="25"/>
      <c r="Q74" s="6"/>
    </row>
    <row r="75" spans="4:20">
      <c r="G75" t="s">
        <v>90</v>
      </c>
      <c r="I75">
        <f>I74/220</f>
        <v>61.3636363636364</v>
      </c>
      <c r="J75" s="6" t="s">
        <v>135</v>
      </c>
      <c r="K75" s="25"/>
      <c r="L75" s="25"/>
      <c r="M75" s="25"/>
      <c r="N75" s="25"/>
      <c r="O75" s="25"/>
      <c r="P75" s="25"/>
      <c r="Q75" s="6"/>
    </row>
    <row r="76" spans="4:20">
      <c r="J76" s="6"/>
      <c r="K76" s="25"/>
      <c r="L76" s="25"/>
      <c r="M76" s="25"/>
      <c r="N76" s="25"/>
      <c r="O76" s="25"/>
      <c r="P76" s="25"/>
      <c r="Q76" s="6"/>
    </row>
    <row r="77" spans="4:20">
      <c r="I77">
        <v>20000</v>
      </c>
      <c r="M77" t="s">
        <v>136</v>
      </c>
    </row>
    <row r="79" spans="4:20">
      <c r="D79" t="s">
        <v>137</v>
      </c>
      <c r="E79" t="s">
        <v>138</v>
      </c>
    </row>
    <row r="80" spans="4:20">
      <c r="D80" t="s">
        <v>11</v>
      </c>
      <c r="E80" t="s">
        <v>139</v>
      </c>
    </row>
    <row r="81" spans="4:5">
      <c r="D81" t="s">
        <v>140</v>
      </c>
      <c r="E81" t="s">
        <v>141</v>
      </c>
    </row>
    <row r="82" spans="4:5">
      <c r="D82" t="s">
        <v>142</v>
      </c>
      <c r="E82">
        <v>1</v>
      </c>
    </row>
    <row r="87" spans="4:5">
      <c r="D87" t="s">
        <v>143</v>
      </c>
      <c r="E87" t="s">
        <v>144</v>
      </c>
    </row>
    <row r="88" spans="4:5">
      <c r="D88" t="s">
        <v>145</v>
      </c>
      <c r="E88" t="s">
        <v>146</v>
      </c>
    </row>
  </sheetData>
  <mergeCells count="8">
    <mergeCell ref="O9:Q9"/>
    <mergeCell ref="O10:Q10"/>
    <mergeCell ref="N43:P43"/>
    <mergeCell ref="N44:P44"/>
    <mergeCell ref="L55:M55"/>
    <mergeCell ref="N55:O55"/>
    <mergeCell ref="E7:E8"/>
    <mergeCell ref="F7:F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3"/>
  <sheetViews>
    <sheetView tabSelected="1" zoomScale="85" zoomScaleNormal="85" topLeftCell="B1" workbookViewId="0">
      <selection activeCell="G13" sqref="G13"/>
    </sheetView>
  </sheetViews>
  <sheetFormatPr defaultColWidth="9" defaultRowHeight="13.5" outlineLevelCol="7"/>
  <cols>
    <col min="1" max="1" width="9" style="1"/>
    <col min="2" max="2" width="16.7333333333333" style="1" customWidth="1"/>
    <col min="3" max="3" width="5.1" style="1" customWidth="1"/>
    <col min="4" max="4" width="39.875" style="1" customWidth="1"/>
    <col min="5" max="5" width="35.3166666666667" style="1" customWidth="1"/>
    <col min="6" max="6" width="21.0833333333333" style="1" customWidth="1"/>
    <col min="7" max="7" width="5.43333333333333" style="1" customWidth="1"/>
    <col min="8" max="8" width="39.875" style="1" customWidth="1"/>
    <col min="9" max="10" width="9" style="1"/>
    <col min="11" max="11" width="12.875" style="1" customWidth="1"/>
    <col min="12" max="12" width="51.5" style="1" customWidth="1"/>
    <col min="13" max="16384" width="9" style="1"/>
  </cols>
  <sheetData>
    <row r="2" spans="2:8">
      <c r="B2" s="1" t="s">
        <v>147</v>
      </c>
    </row>
    <row r="4" spans="2:8">
      <c r="B4" s="2" t="s">
        <v>148</v>
      </c>
      <c r="C4" s="3">
        <v>1</v>
      </c>
      <c r="D4" s="3" t="s">
        <v>149</v>
      </c>
      <c r="F4" s="2" t="s">
        <v>150</v>
      </c>
      <c r="G4" s="3">
        <v>1</v>
      </c>
      <c r="H4" s="3" t="s">
        <v>149</v>
      </c>
    </row>
    <row r="5" spans="2:8">
      <c r="B5" s="4"/>
      <c r="C5" s="3">
        <v>2</v>
      </c>
      <c r="D5" s="3" t="s">
        <v>151</v>
      </c>
      <c r="F5" s="4"/>
      <c r="G5" s="3">
        <v>2</v>
      </c>
      <c r="H5" s="3" t="s">
        <v>151</v>
      </c>
    </row>
    <row r="6" spans="2:8">
      <c r="B6" s="4"/>
      <c r="C6" s="3">
        <v>3</v>
      </c>
      <c r="D6" s="3" t="s">
        <v>152</v>
      </c>
      <c r="F6" s="4"/>
      <c r="G6" s="3">
        <v>3</v>
      </c>
      <c r="H6" s="3" t="s">
        <v>152</v>
      </c>
    </row>
    <row r="7" spans="2:8">
      <c r="B7" s="4"/>
      <c r="C7" s="3">
        <v>4</v>
      </c>
      <c r="D7" s="3" t="s">
        <v>153</v>
      </c>
      <c r="F7" s="4"/>
      <c r="G7" s="3">
        <v>4</v>
      </c>
      <c r="H7" s="3" t="s">
        <v>153</v>
      </c>
    </row>
    <row r="8" spans="2:8">
      <c r="B8" s="4"/>
      <c r="C8" s="3">
        <v>5</v>
      </c>
      <c r="D8" s="3" t="s">
        <v>154</v>
      </c>
      <c r="E8" s="3" t="s">
        <v>155</v>
      </c>
      <c r="F8" s="4"/>
      <c r="G8" s="3">
        <v>5</v>
      </c>
      <c r="H8" s="3" t="s">
        <v>154</v>
      </c>
    </row>
    <row r="9" spans="2:8">
      <c r="B9" s="4"/>
      <c r="C9" s="3">
        <v>6</v>
      </c>
      <c r="D9" s="3" t="s">
        <v>156</v>
      </c>
      <c r="E9" s="3"/>
      <c r="F9" s="4"/>
      <c r="G9" s="3">
        <v>6</v>
      </c>
      <c r="H9" s="3" t="s">
        <v>156</v>
      </c>
    </row>
    <row r="10" spans="2:8">
      <c r="B10" s="4"/>
      <c r="C10" s="3">
        <v>7</v>
      </c>
      <c r="D10" s="3" t="s">
        <v>157</v>
      </c>
      <c r="E10" s="3" t="s">
        <v>158</v>
      </c>
      <c r="F10" s="4"/>
      <c r="G10" s="3">
        <v>7</v>
      </c>
      <c r="H10" s="3" t="s">
        <v>157</v>
      </c>
    </row>
    <row r="11" spans="2:8">
      <c r="B11" s="4"/>
      <c r="C11" s="3">
        <v>8</v>
      </c>
      <c r="D11" s="3" t="s">
        <v>159</v>
      </c>
      <c r="E11" s="3" t="s">
        <v>160</v>
      </c>
      <c r="F11" s="4"/>
      <c r="G11" s="3">
        <v>8</v>
      </c>
      <c r="H11" s="3" t="s">
        <v>159</v>
      </c>
    </row>
    <row r="12" spans="2:8">
      <c r="B12" s="4"/>
      <c r="C12" s="3">
        <v>9</v>
      </c>
      <c r="D12" s="3" t="s">
        <v>161</v>
      </c>
      <c r="E12" s="1"/>
      <c r="F12" s="4"/>
      <c r="G12" s="3">
        <v>9</v>
      </c>
      <c r="H12" s="3" t="s">
        <v>161</v>
      </c>
    </row>
    <row r="13" spans="2:8">
      <c r="B13" s="4"/>
      <c r="C13" s="3">
        <v>10</v>
      </c>
      <c r="D13" s="3" t="s">
        <v>162</v>
      </c>
      <c r="F13" s="4"/>
      <c r="G13" s="3">
        <v>10</v>
      </c>
      <c r="H13" s="3" t="s">
        <v>162</v>
      </c>
    </row>
    <row r="14" spans="2:8">
      <c r="B14" s="4"/>
      <c r="C14" s="3"/>
      <c r="D14" s="3"/>
      <c r="F14" s="4"/>
      <c r="G14" s="3"/>
      <c r="H14" s="3"/>
    </row>
    <row r="15" spans="2:8">
      <c r="B15" s="4"/>
      <c r="C15" s="3"/>
      <c r="D15" s="3"/>
      <c r="F15" s="4"/>
      <c r="G15" s="3"/>
      <c r="H15" s="3"/>
    </row>
    <row r="16" spans="2:8">
      <c r="B16" s="5"/>
      <c r="C16" s="3"/>
      <c r="D16" s="3"/>
      <c r="F16" s="5"/>
      <c r="G16" s="3"/>
      <c r="H16" s="3"/>
    </row>
    <row r="21" spans="6:8">
      <c r="F21" s="2" t="s">
        <v>163</v>
      </c>
      <c r="G21" s="3">
        <v>1</v>
      </c>
      <c r="H21" s="3" t="s">
        <v>149</v>
      </c>
    </row>
    <row r="22" spans="6:8">
      <c r="F22" s="4"/>
      <c r="G22" s="3">
        <v>2</v>
      </c>
      <c r="H22" s="3" t="s">
        <v>151</v>
      </c>
    </row>
    <row r="23" spans="6:8">
      <c r="F23" s="4"/>
      <c r="G23" s="3">
        <v>3</v>
      </c>
      <c r="H23" s="3" t="s">
        <v>152</v>
      </c>
    </row>
    <row r="24" spans="6:8">
      <c r="F24" s="4"/>
      <c r="G24" s="3">
        <v>4</v>
      </c>
      <c r="H24" s="3" t="s">
        <v>153</v>
      </c>
    </row>
    <row r="25" spans="6:8">
      <c r="F25" s="4"/>
      <c r="G25" s="3">
        <v>5</v>
      </c>
      <c r="H25" s="3" t="s">
        <v>154</v>
      </c>
    </row>
    <row r="26" spans="6:8">
      <c r="F26" s="4"/>
      <c r="G26" s="3">
        <v>6</v>
      </c>
      <c r="H26" s="3" t="s">
        <v>156</v>
      </c>
    </row>
    <row r="27" spans="6:8">
      <c r="F27" s="4"/>
      <c r="G27" s="3">
        <v>7</v>
      </c>
      <c r="H27" s="3" t="s">
        <v>157</v>
      </c>
    </row>
    <row r="28" spans="6:8">
      <c r="F28" s="4"/>
      <c r="G28" s="3">
        <v>8</v>
      </c>
      <c r="H28" s="3" t="s">
        <v>159</v>
      </c>
    </row>
    <row r="29" spans="6:8">
      <c r="F29" s="4"/>
      <c r="G29" s="3">
        <v>9</v>
      </c>
      <c r="H29" s="3" t="s">
        <v>161</v>
      </c>
    </row>
    <row r="30" spans="6:8">
      <c r="F30" s="4"/>
      <c r="G30" s="3">
        <v>10</v>
      </c>
      <c r="H30" s="3" t="s">
        <v>162</v>
      </c>
    </row>
    <row r="31" spans="6:8">
      <c r="F31" s="4"/>
      <c r="G31" s="3"/>
      <c r="H31" s="3"/>
    </row>
    <row r="32" spans="6:8">
      <c r="F32" s="4"/>
      <c r="G32" s="3"/>
      <c r="H32" s="3"/>
    </row>
    <row r="33" spans="6:8">
      <c r="F33" s="5"/>
      <c r="G33" s="3"/>
      <c r="H33" s="3"/>
    </row>
  </sheetData>
  <mergeCells count="4">
    <mergeCell ref="B4:B16"/>
    <mergeCell ref="E8:E9"/>
    <mergeCell ref="F4:F16"/>
    <mergeCell ref="F21:F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奚逸</cp:lastModifiedBy>
  <dcterms:created xsi:type="dcterms:W3CDTF">2023-05-12T11:15:00Z</dcterms:created>
  <dcterms:modified xsi:type="dcterms:W3CDTF">2026-06-04T08:16:51Z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2C5826713B46443D996044E8003976CB_13</vt:lpwstr>
  </property>
  <property fmtid="{D5CDD505-2E9C-101B-9397-08002B2CF9AE}" pid="4" name="CalculationRule">
    <vt:i4>0</vt:i4>
  </property>
</Properties>
</file>